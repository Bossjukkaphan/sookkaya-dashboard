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ินค้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<sst xmlns="http://schemas.openxmlformats.org/spreadsheetml/2006/main" count="49" uniqueCount="38">
  <si>
    <t xml:space="preserve">รหัสสินค้า</t>
  </si>
  <si>
    <t xml:space="preserve">ชื่อเมนู</t>
  </si>
  <si>
    <t xml:space="preserve">หมวดหมู่</t>
  </si>
  <si>
    <t xml:space="preserve">ราคาขาย (บาท)</t>
  </si>
  <si>
    <t xml:space="preserve">ต้นทุน (บาท)</t>
  </si>
  <si>
    <t xml:space="preserve">กำไรต่อหน่วย (บาท)</t>
  </si>
  <si>
    <t xml:space="preserve">% กำไร</t>
  </si>
  <si>
    <t xml:space="preserve">C01</t>
  </si>
  <si>
    <t xml:space="preserve">เอสเพรสโซ่</t>
  </si>
  <si>
    <t xml:space="preserve">กาแฟ</t>
  </si>
  <si>
    <t xml:space="preserve">C02</t>
  </si>
  <si>
    <t xml:space="preserve">อเมริกาโน่เย็น</t>
  </si>
  <si>
    <t xml:space="preserve">C03</t>
  </si>
  <si>
    <t xml:space="preserve">ลาเต้เย็น</t>
  </si>
  <si>
    <t xml:space="preserve">C04</t>
  </si>
  <si>
    <t xml:space="preserve">คาปูชิโน่</t>
  </si>
  <si>
    <t xml:space="preserve">C05</t>
  </si>
  <si>
    <t xml:space="preserve">มอคค่าเย็น</t>
  </si>
  <si>
    <t xml:space="preserve">C06</t>
  </si>
  <si>
    <t xml:space="preserve">กาแฟโบราณ (เอสเย็น)</t>
  </si>
  <si>
    <t xml:space="preserve">N01</t>
  </si>
  <si>
    <t xml:space="preserve">ชาไทยเย็น</t>
  </si>
  <si>
    <t xml:space="preserve">เครื่องดื่มอื่น</t>
  </si>
  <si>
    <t xml:space="preserve">N02</t>
  </si>
  <si>
    <t xml:space="preserve">มัทฉะลาเต้</t>
  </si>
  <si>
    <t xml:space="preserve">N03</t>
  </si>
  <si>
    <t xml:space="preserve">โกโก้เย็น</t>
  </si>
  <si>
    <t xml:space="preserve">N04</t>
  </si>
  <si>
    <t xml:space="preserve">น้ำส้มคั้นสด</t>
  </si>
  <si>
    <t xml:space="preserve">B01</t>
  </si>
  <si>
    <t xml:space="preserve">ครัวซองต์เนยสด</t>
  </si>
  <si>
    <t xml:space="preserve">เบเกอรี่</t>
  </si>
  <si>
    <t xml:space="preserve">B02</t>
  </si>
  <si>
    <t xml:space="preserve">บราวนี่</t>
  </si>
  <si>
    <t xml:space="preserve">B03</t>
  </si>
  <si>
    <t xml:space="preserve">เค้กกล้วยหอม</t>
  </si>
  <si>
    <t xml:space="preserve">B04</t>
  </si>
  <si>
    <t xml:space="preserve">คุกกี้ช็อกโกแลตชิพ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</si>
</sst>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sz val="11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C1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2C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55</v>
      </c>
      <c r="E2" s="2" t="n">
        <v>18</v>
      </c>
      <c r="F2" s="2" t="n">
        <f aca="false">D2-E2</f>
        <v>37</v>
      </c>
      <c r="G2" s="3" t="n">
        <f aca="false">F2/D2</f>
        <v>0.672727272727273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9</v>
      </c>
      <c r="D3" s="2" t="n">
        <v>60</v>
      </c>
      <c r="E3" s="2" t="n">
        <v>20</v>
      </c>
      <c r="F3" s="2" t="n">
        <f aca="false">D3-E3</f>
        <v>40</v>
      </c>
      <c r="G3" s="3" t="n">
        <f aca="false">F3/D3</f>
        <v>0.666666666666667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9</v>
      </c>
      <c r="D4" s="2" t="n">
        <v>70</v>
      </c>
      <c r="E4" s="2" t="n">
        <v>28</v>
      </c>
      <c r="F4" s="2" t="n">
        <f aca="false">D4-E4</f>
        <v>42</v>
      </c>
      <c r="G4" s="3" t="n">
        <f aca="false">F4/D4</f>
        <v>0.6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9</v>
      </c>
      <c r="D5" s="2" t="n">
        <v>70</v>
      </c>
      <c r="E5" s="2" t="n">
        <v>28</v>
      </c>
      <c r="F5" s="2" t="n">
        <f aca="false">D5-E5</f>
        <v>42</v>
      </c>
      <c r="G5" s="3" t="n">
        <f aca="false">F5/D5</f>
        <v>0.6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9</v>
      </c>
      <c r="D6" s="2" t="n">
        <v>75</v>
      </c>
      <c r="E6" s="2" t="n">
        <v>32</v>
      </c>
      <c r="F6" s="2" t="n">
        <f aca="false">D6-E6</f>
        <v>43</v>
      </c>
      <c r="G6" s="3" t="n">
        <f aca="false">F6/D6</f>
        <v>0.573333333333333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9</v>
      </c>
      <c r="D7" s="2" t="n">
        <v>45</v>
      </c>
      <c r="E7" s="2" t="n">
        <v>22</v>
      </c>
      <c r="F7" s="2" t="n">
        <f aca="false">D7-E7</f>
        <v>23</v>
      </c>
      <c r="G7" s="3" t="n">
        <f aca="false">F7/D7</f>
        <v>0.511111111111111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22</v>
      </c>
      <c r="D8" s="2" t="n">
        <v>60</v>
      </c>
      <c r="E8" s="2" t="n">
        <v>34</v>
      </c>
      <c r="F8" s="2" t="n">
        <f aca="false">D8-E8</f>
        <v>26</v>
      </c>
      <c r="G8" s="3" t="n">
        <f aca="false">F8/D8</f>
        <v>0.433333333333333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22</v>
      </c>
      <c r="D9" s="2" t="n">
        <v>85</v>
      </c>
      <c r="E9" s="2" t="n">
        <v>40</v>
      </c>
      <c r="F9" s="2" t="n">
        <f aca="false">D9-E9</f>
        <v>45</v>
      </c>
      <c r="G9" s="3" t="n">
        <f aca="false">F9/D9</f>
        <v>0.529411764705882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22</v>
      </c>
      <c r="D10" s="2" t="n">
        <v>65</v>
      </c>
      <c r="E10" s="2" t="n">
        <v>30</v>
      </c>
      <c r="F10" s="2" t="n">
        <f aca="false">D10-E10</f>
        <v>35</v>
      </c>
      <c r="G10" s="3" t="n">
        <f aca="false">F10/D10</f>
        <v>0.538461538461538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22</v>
      </c>
      <c r="D11" s="2" t="n">
        <v>50</v>
      </c>
      <c r="E11" s="2" t="n">
        <v>26</v>
      </c>
      <c r="F11" s="2" t="n">
        <f aca="false">D11-E11</f>
        <v>24</v>
      </c>
      <c r="G11" s="3" t="n">
        <f aca="false">F11/D11</f>
        <v>0.48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  <c r="D12" s="2" t="n">
        <v>65</v>
      </c>
      <c r="E12" s="2" t="n">
        <v>35</v>
      </c>
      <c r="F12" s="2" t="n">
        <f aca="false">D12-E12</f>
        <v>30</v>
      </c>
      <c r="G12" s="3" t="n">
        <f aca="false">F12/D12</f>
        <v>0.461538461538462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31</v>
      </c>
      <c r="D13" s="2" t="n">
        <v>55</v>
      </c>
      <c r="E13" s="2" t="n">
        <v>22</v>
      </c>
      <c r="F13" s="2" t="n">
        <f aca="false">D13-E13</f>
        <v>33</v>
      </c>
      <c r="G13" s="3" t="n">
        <f aca="false">F13/D13</f>
        <v>0.6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2" t="s">
        <v>31</v>
      </c>
      <c r="D14" s="2" t="n">
        <v>45</v>
      </c>
      <c r="E14" s="2" t="n">
        <v>18</v>
      </c>
      <c r="F14" s="2" t="n">
        <f aca="false">D14-E14</f>
        <v>27</v>
      </c>
      <c r="G14" s="3" t="n">
        <f aca="false">F14/D14</f>
        <v>0.6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31</v>
      </c>
      <c r="D15" s="2" t="n">
        <v>35</v>
      </c>
      <c r="E15" s="2" t="n">
        <v>12</v>
      </c>
      <c r="F15" s="2" t="n">
        <f aca="false">D15-E15</f>
        <v>23</v>
      </c>
      <c r="G15" s="3" t="n">
        <f aca="false">F15/D15</f>
        <v>0.657142857142857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2026-07-22T12:25:02Z</dcterms:created>
  <dc:creator>openpyxl</dc:creator>
  <dc:description/>
  <dc:language>en-US</dc:language>
  <cp:lastModifiedBy/>
  <dcterms:modified xsi:type="dcterms:W3CDTF">2026-07-22T12:25:02Z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